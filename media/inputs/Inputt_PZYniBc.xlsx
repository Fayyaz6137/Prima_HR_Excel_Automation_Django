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izha\Downloads\New folder\"/>
    </mc:Choice>
  </mc:AlternateContent>
  <xr:revisionPtr revIDLastSave="0" documentId="13_ncr:1_{AAD33D6D-EAEF-49EC-8BCA-EDD7BECABD2A}" xr6:coauthVersionLast="47" xr6:coauthVersionMax="47" xr10:uidLastSave="{00000000-0000-0000-0000-000000000000}"/>
  <bookViews>
    <workbookView xWindow="-108" yWindow="-108" windowWidth="23256" windowHeight="12456" activeTab="2" xr2:uid="{6D09794D-BD7F-4C0E-88E0-2FDF49C30F37}"/>
  </bookViews>
  <sheets>
    <sheet name="input_assumptions" sheetId="2" r:id="rId1"/>
    <sheet name="input_data" sheetId="1" r:id="rId2"/>
    <sheet name="calculation" sheetId="3" r:id="rId3"/>
    <sheet name="lookup_probabil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A11" i="3" a="1"/>
  <c r="B8" i="3"/>
  <c r="B7" i="3"/>
  <c r="B6" i="3"/>
  <c r="A11" i="3" l="1"/>
  <c r="B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<sst xmlns="http://schemas.openxmlformats.org/spreadsheetml/2006/main" count="32" uniqueCount="27">
  <si>
    <t>INPUT ASSUMPTIONS</t>
  </si>
  <si>
    <t>valuation_date</t>
  </si>
  <si>
    <t>discount_rate</t>
  </si>
  <si>
    <t>salary_increase_rate</t>
  </si>
  <si>
    <t>retirement_age</t>
  </si>
  <si>
    <t>INPUT DATA</t>
  </si>
  <si>
    <t>emp_id</t>
  </si>
  <si>
    <t>emp_name</t>
  </si>
  <si>
    <t>date_birth</t>
  </si>
  <si>
    <t>date_joining</t>
  </si>
  <si>
    <t>salary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</si>
  <si>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</si>
  <si>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</si>
  <si>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</si>
  <si>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</si>
  <si>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</si>
  <si>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</si>
  <si>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</si>
  <si>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CALCULATION</t>
  </si>
  <si>
    <t>probabilities</t>
  </si>
  <si>
    <t>input_data</t>
  </si>
  <si>
    <t>Age</t>
  </si>
  <si>
    <t>Assumptions</t>
  </si>
  <si>
    <t>Calculations</t>
  </si>
  <si>
    <t>age</t>
  </si>
  <si>
    <t>qx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</si>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</sst>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4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2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5" fontId="0" fillId="3" borderId="0" xfId="1" applyNumberFormat="1" applyFont="1" applyFill="1"/>
    <xf numFmtId="14" fontId="0" fillId="3" borderId="0" xfId="0" applyNumberFormat="1" applyFill="1"/>
    <xf numFmtId="10" fontId="0" fillId="3" borderId="0" xfId="2" applyNumberFormat="1" applyFont="1" applyFill="1"/>
    <xf numFmtId="0" fontId="0" fillId="0" borderId="0" xfId="0" applyAlignment="1">
      <alignment horizontal="center"/>
    </xf>
    <xf numFmtId="166" fontId="0" fillId="0" borderId="0" xfId="2" applyNumberFormat="1" applyFont="1"/>
    <xf numFmtId="167" fontId="0" fillId="0" borderId="0" xfId="2" applyNumberFormat="1" applyFont="1"/>
    <xf numFmtId="167" fontId="0" fillId="0" borderId="0" xfId="0" applyNumberFormat="1"/>
    <xf numFmtId="43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8992-5B81-498D-9CFD-DA2D17900073}">
  <dimension ref="A1:B6"/>
  <sheetViews>
    <sheetView zoomScale="99" workbookViewId="0">
      <selection activeCell="I8" sqref="I8"/>
    </sheetView>
  </sheetViews>
  <sheetFormatPr defaultRowHeight="14.4" x14ac:dyDescent="0.3"/>
  <cols>
    <col min="1" max="1" width="31.109375" customWidth="1"/>
    <col min="2" max="2" width="14.33203125" customWidth="1"/>
  </cols>
  <sheetData>
    <row r="1" spans="1:2" ht="21" x14ac:dyDescent="0.4">
      <c r="A1" s="5" t="s">
        <v>0</v>
      </c>
    </row>
    <row r="3" spans="1:2" x14ac:dyDescent="0.3">
      <c r="A3" t="s">
        <v>1</v>
      </c>
      <c r="B3" s="3">
        <v>45657</v>
      </c>
    </row>
    <row r="4" spans="1:2" x14ac:dyDescent="0.3">
      <c r="A4" t="s">
        <v>2</v>
      </c>
      <c r="B4" s="4">
        <v>5.45E-2</v>
      </c>
    </row>
    <row r="5" spans="1:2" x14ac:dyDescent="0.3">
      <c r="A5" t="s">
        <v>3</v>
      </c>
      <c r="B5" s="4">
        <v>0.05</v>
      </c>
    </row>
    <row r="6" spans="1:2" x14ac:dyDescent="0.3">
      <c r="A6" t="s">
        <v>4</v>
      </c>
      <c r="B6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6FE4-6A8B-463D-ACCA-55D2B73D5283}">
  <dimension ref="A1:E10"/>
  <sheetViews>
    <sheetView zoomScale="117" workbookViewId="0">
      <selection activeCell="B4" sqref="B4"/>
    </sheetView>
  </sheetViews>
  <sheetFormatPr defaultRowHeight="14.4" x14ac:dyDescent="0.3"/>
  <cols>
    <col min="2" max="2" width="31" bestFit="1" customWidth="1"/>
    <col min="3" max="3" width="14" customWidth="1"/>
    <col min="4" max="4" width="17.109375" customWidth="1"/>
    <col min="5" max="5" width="17.33203125" customWidth="1"/>
  </cols>
  <sheetData>
    <row r="1" spans="1:5" ht="21" x14ac:dyDescent="0.4">
      <c r="A1" s="5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>
        <v>1</v>
      </c>
      <c r="B4" t="s">
        <v>11</v>
      </c>
      <c r="C4" s="1">
        <v>32546</v>
      </c>
      <c r="D4" s="1">
        <v>45329</v>
      </c>
      <c r="E4" s="2">
        <v>11280.25</v>
      </c>
    </row>
    <row r="5" spans="1:5" x14ac:dyDescent="0.3">
      <c r="A5">
        <v>2</v>
      </c>
      <c r="B5" t="s">
        <v>12</v>
      </c>
      <c r="C5" s="1">
        <v>36989</v>
      </c>
      <c r="D5" s="1">
        <v>45445</v>
      </c>
      <c r="E5" s="2">
        <v>8029.8</v>
      </c>
    </row>
    <row r="6" spans="1:5" x14ac:dyDescent="0.3">
      <c r="A6">
        <v>3</v>
      </c>
      <c r="B6" t="s">
        <v>13</v>
      </c>
      <c r="C6" s="1">
        <v>30680</v>
      </c>
      <c r="D6" s="1">
        <v>45476</v>
      </c>
      <c r="E6" s="2">
        <v>2517</v>
      </c>
    </row>
    <row r="7" spans="1:5" x14ac:dyDescent="0.3">
      <c r="A7">
        <v>4</v>
      </c>
      <c r="B7" t="s">
        <v>14</v>
      </c>
      <c r="C7" s="1">
        <v>34028</v>
      </c>
      <c r="D7" s="1">
        <v>45641</v>
      </c>
      <c r="E7" s="2">
        <v>11891.25</v>
      </c>
    </row>
    <row r="8" spans="1:5" x14ac:dyDescent="0.3">
      <c r="A8">
        <v>5</v>
      </c>
      <c r="B8" t="s">
        <v>15</v>
      </c>
      <c r="C8" s="1">
        <v>29473</v>
      </c>
      <c r="D8" s="1">
        <v>41518</v>
      </c>
      <c r="E8" s="2">
        <v>6698.85</v>
      </c>
    </row>
    <row r="9" spans="1:5" x14ac:dyDescent="0.3">
      <c r="A9">
        <v>6</v>
      </c>
      <c r="B9" t="s">
        <v>16</v>
      </c>
      <c r="C9" s="1">
        <v>31037</v>
      </c>
      <c r="D9" s="1">
        <v>39479</v>
      </c>
      <c r="E9" s="2">
        <v>10115.15</v>
      </c>
    </row>
    <row r="10" spans="1:5" x14ac:dyDescent="0.3">
      <c r="A10">
        <v>7</v>
      </c>
      <c r="B10" t="s">
        <v>17</v>
      </c>
      <c r="C10" s="1">
        <v>26557</v>
      </c>
      <c r="D10" s="1">
        <v>43922</v>
      </c>
      <c r="E10" s="2">
        <v>3111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DD15-8A15-4033-AE0D-F43354B4077A}">
  <dimension ref="A1:I28"/>
  <sheetViews>
    <sheetView tabSelected="1" workbookViewId="0">
      <selection activeCell="G2" sqref="G2:H2"/>
    </sheetView>
  </sheetViews>
  <sheetFormatPr defaultRowHeight="14.4" x14ac:dyDescent="0.3"/>
  <cols>
    <col min="1" max="1" width="19.33203125" bestFit="1" customWidth="1"/>
    <col min="2" max="2" width="14.6640625" customWidth="1"/>
    <col min="6" max="6" width="13.33203125" customWidth="1"/>
    <col min="7" max="7" width="13" customWidth="1"/>
    <col min="8" max="8" width="12" customWidth="1"/>
    <col min="9" max="9" width="25.88671875" customWidth="1"/>
  </cols>
  <sheetData>
    <row r="1" spans="1:9" ht="21" x14ac:dyDescent="0.4">
      <c r="A1" s="5" t="s">
        <v>18</v>
      </c>
    </row>
    <row r="2" spans="1:9" x14ac:dyDescent="0.3">
      <c r="G2" s="19" t="s">
        <v>19</v>
      </c>
      <c r="H2" s="19"/>
    </row>
    <row r="3" spans="1:9" x14ac:dyDescent="0.3">
      <c r="A3" s="6" t="s">
        <v>20</v>
      </c>
      <c r="G3" s="14"/>
      <c r="H3" s="14"/>
    </row>
    <row r="4" spans="1:9" x14ac:dyDescent="0.3">
      <c r="A4" t="s">
        <v>6</v>
      </c>
      <c r="B4" s="8">
        <v>1</v>
      </c>
      <c r="F4" s="2"/>
      <c r="G4" s="15"/>
      <c r="H4" s="15"/>
      <c r="I4" s="18"/>
    </row>
    <row r="5" spans="1:9" x14ac:dyDescent="0.3">
      <c r="A5" t="s">
        <v>7</v>
      </c>
      <c r="B5" s="9" t="str">
        <f>VLOOKUP($B$4,input_data!$A$4:$E$10,2,0)</f>
        <v>Employee 1</v>
      </c>
      <c r="F5" s="2"/>
      <c r="G5" s="15"/>
      <c r="H5" s="15"/>
      <c r="I5" s="18"/>
    </row>
    <row r="6" spans="1:9" x14ac:dyDescent="0.3">
      <c r="A6" t="s">
        <v>8</v>
      </c>
      <c r="B6" s="10">
        <f>VLOOKUP($B$4,input_data!$A$4:$E$10,3,0)</f>
        <v>32546</v>
      </c>
      <c r="F6" s="2"/>
      <c r="G6" s="15"/>
      <c r="H6" s="15"/>
      <c r="I6" s="18"/>
    </row>
    <row r="7" spans="1:9" x14ac:dyDescent="0.3">
      <c r="A7" t="s">
        <v>9</v>
      </c>
      <c r="B7" s="10">
        <f>VLOOKUP($B$4,input_data!$A$4:$E$10,4,0)</f>
        <v>45329</v>
      </c>
      <c r="F7" s="2"/>
      <c r="G7" s="15"/>
      <c r="H7" s="15"/>
      <c r="I7" s="18"/>
    </row>
    <row r="8" spans="1:9" x14ac:dyDescent="0.3">
      <c r="A8" t="s">
        <v>10</v>
      </c>
      <c r="B8" s="11">
        <f>VLOOKUP($B$4,input_data!$A$4:$E$10,5,0)</f>
        <v>11280.25</v>
      </c>
      <c r="F8" s="2"/>
      <c r="G8" s="15"/>
      <c r="H8" s="15"/>
      <c r="I8" s="18"/>
    </row>
    <row r="9" spans="1:9" x14ac:dyDescent="0.3">
      <c r="F9" s="2"/>
      <c r="G9" s="15"/>
      <c r="H9" s="15"/>
      <c r="I9" s="18"/>
    </row>
    <row r="10" spans="1:9" x14ac:dyDescent="0.3">
      <c r="A10" s="6" t="s">
        <v>22</v>
      </c>
      <c r="F10" s="2"/>
      <c r="G10" s="15"/>
      <c r="H10" s="15"/>
      <c r="I10" s="18"/>
    </row>
    <row r="11" spans="1:9" x14ac:dyDescent="0.3">
      <c r="A11" t="str" cm="1">
        <f t="array" ref="A11:B14">input_assumptions!A3:B6</f>
        <v>valuation_date</v>
      </c>
      <c r="B11" s="12">
        <v>45657</v>
      </c>
      <c r="F11" s="2"/>
      <c r="G11" s="15"/>
      <c r="H11" s="15"/>
      <c r="I11" s="18"/>
    </row>
    <row r="12" spans="1:9" x14ac:dyDescent="0.3">
      <c r="A12" t="str">
        <v>discount_rate</v>
      </c>
      <c r="B12" s="13">
        <v>5.45E-2</v>
      </c>
      <c r="F12" s="2"/>
      <c r="G12" s="15"/>
      <c r="H12" s="15"/>
      <c r="I12" s="18"/>
    </row>
    <row r="13" spans="1:9" x14ac:dyDescent="0.3">
      <c r="A13" t="str">
        <v>salary_increase_rate</v>
      </c>
      <c r="B13" s="13">
        <v>0.05</v>
      </c>
      <c r="F13" s="2"/>
      <c r="G13" s="15"/>
      <c r="H13" s="15"/>
      <c r="I13" s="18"/>
    </row>
    <row r="14" spans="1:9" x14ac:dyDescent="0.3">
      <c r="A14" t="str">
        <v>retirement_age</v>
      </c>
      <c r="B14" s="8">
        <v>60</v>
      </c>
      <c r="F14" s="2"/>
      <c r="G14" s="15"/>
      <c r="H14" s="15"/>
      <c r="I14" s="18"/>
    </row>
    <row r="15" spans="1:9" x14ac:dyDescent="0.3">
      <c r="F15" s="2"/>
      <c r="G15" s="15"/>
      <c r="H15" s="15"/>
      <c r="I15" s="18"/>
    </row>
    <row r="16" spans="1:9" x14ac:dyDescent="0.3">
      <c r="F16" s="2"/>
      <c r="G16" s="15"/>
      <c r="H16" s="15"/>
      <c r="I16" s="18"/>
    </row>
    <row r="17" spans="1:9" x14ac:dyDescent="0.3">
      <c r="F17" s="2"/>
      <c r="G17" s="15"/>
      <c r="H17" s="15"/>
      <c r="I17" s="18"/>
    </row>
    <row r="18" spans="1:9" x14ac:dyDescent="0.3">
      <c r="A18" s="6" t="s">
        <v>23</v>
      </c>
      <c r="F18" s="2"/>
      <c r="G18" s="15"/>
      <c r="H18" s="15"/>
      <c r="I18" s="18"/>
    </row>
    <row r="19" spans="1:9" x14ac:dyDescent="0.3">
      <c r="A19" t="s">
        <v>21</v>
      </c>
      <c r="B19" s="7">
        <f>INT((B11-B6+1)/365.25)</f>
        <v>35</v>
      </c>
      <c r="F19" s="2"/>
      <c r="G19" s="15"/>
      <c r="H19" s="15"/>
      <c r="I19" s="18"/>
    </row>
    <row r="20" spans="1:9" x14ac:dyDescent="0.3">
      <c r="F20" s="2"/>
      <c r="G20" s="15"/>
      <c r="H20" s="15"/>
      <c r="I20" s="18"/>
    </row>
    <row r="21" spans="1:9" x14ac:dyDescent="0.3">
      <c r="F21" s="2"/>
      <c r="G21" s="15"/>
      <c r="H21" s="15"/>
      <c r="I21" s="18"/>
    </row>
    <row r="22" spans="1:9" x14ac:dyDescent="0.3">
      <c r="F22" s="2"/>
      <c r="G22" s="15"/>
      <c r="H22" s="15"/>
      <c r="I22" s="18"/>
    </row>
    <row r="23" spans="1:9" x14ac:dyDescent="0.3">
      <c r="F23" s="2"/>
      <c r="G23" s="15"/>
      <c r="H23" s="15"/>
      <c r="I23" s="18"/>
    </row>
    <row r="24" spans="1:9" x14ac:dyDescent="0.3">
      <c r="F24" s="2"/>
      <c r="G24" s="15"/>
      <c r="H24" s="15"/>
      <c r="I24" s="18"/>
    </row>
    <row r="25" spans="1:9" x14ac:dyDescent="0.3">
      <c r="F25" s="2"/>
      <c r="G25" s="15"/>
      <c r="H25" s="15"/>
      <c r="I25" s="18"/>
    </row>
    <row r="26" spans="1:9" x14ac:dyDescent="0.3">
      <c r="F26" s="2"/>
      <c r="G26" s="15"/>
      <c r="H26" s="15"/>
      <c r="I26" s="18"/>
    </row>
    <row r="27" spans="1:9" x14ac:dyDescent="0.3">
      <c r="F27" s="2"/>
      <c r="G27" s="15"/>
      <c r="H27" s="15"/>
      <c r="I27" s="18"/>
    </row>
    <row r="28" spans="1:9" x14ac:dyDescent="0.3">
      <c r="F28" s="2"/>
      <c r="G28" s="15"/>
      <c r="H28" s="15"/>
      <c r="I28" s="18"/>
    </row>
  </sheetData>
  <mergeCells count="1"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8F40-990B-43CA-B5CE-A1E98BE8BE61}">
  <dimension ref="A1:C55"/>
  <sheetViews>
    <sheetView workbookViewId="0">
      <selection activeCell="I14" sqref="I14"/>
    </sheetView>
  </sheetViews>
  <sheetFormatPr defaultRowHeight="14.4" x14ac:dyDescent="0.3"/>
  <cols>
    <col min="2" max="2" width="8.88671875" bestFit="1" customWidth="1"/>
    <col min="3" max="3" width="10.88671875" bestFit="1" customWidth="1"/>
  </cols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>
        <v>20</v>
      </c>
      <c r="B2" s="16">
        <v>1.152E-3</v>
      </c>
      <c r="C2" s="17">
        <v>0.99884799999999996</v>
      </c>
    </row>
    <row r="3" spans="1:3" x14ac:dyDescent="0.3">
      <c r="A3">
        <v>21</v>
      </c>
      <c r="B3" s="16">
        <v>1.152E-3</v>
      </c>
      <c r="C3" s="17">
        <v>0.99884799999999996</v>
      </c>
    </row>
    <row r="4" spans="1:3" x14ac:dyDescent="0.3">
      <c r="A4">
        <v>22</v>
      </c>
      <c r="B4" s="16">
        <v>1.1519999999999998E-3</v>
      </c>
      <c r="C4" s="17">
        <v>0.99884799999999996</v>
      </c>
    </row>
    <row r="5" spans="1:3" x14ac:dyDescent="0.3">
      <c r="A5">
        <v>23</v>
      </c>
      <c r="B5" s="16">
        <v>1.1520000000000007E-3</v>
      </c>
      <c r="C5" s="17">
        <v>0.99884799999999996</v>
      </c>
    </row>
    <row r="6" spans="1:3" x14ac:dyDescent="0.3">
      <c r="A6">
        <v>24</v>
      </c>
      <c r="B6" s="16">
        <v>1.1519999999999989E-3</v>
      </c>
      <c r="C6" s="17">
        <v>0.99884799999999996</v>
      </c>
    </row>
    <row r="7" spans="1:3" x14ac:dyDescent="0.3">
      <c r="A7">
        <v>25</v>
      </c>
      <c r="B7" s="16">
        <v>1.4129999999999991E-3</v>
      </c>
      <c r="C7" s="17">
        <v>0.998587</v>
      </c>
    </row>
    <row r="8" spans="1:3" x14ac:dyDescent="0.3">
      <c r="A8">
        <v>26</v>
      </c>
      <c r="B8" s="16">
        <v>1.4914999999999993E-3</v>
      </c>
      <c r="C8" s="17">
        <v>0.99850850000000002</v>
      </c>
    </row>
    <row r="9" spans="1:3" x14ac:dyDescent="0.3">
      <c r="A9">
        <v>27</v>
      </c>
      <c r="B9" s="16">
        <v>1.4915E-3</v>
      </c>
      <c r="C9" s="17">
        <v>0.99850850000000002</v>
      </c>
    </row>
    <row r="10" spans="1:3" x14ac:dyDescent="0.3">
      <c r="A10">
        <v>28</v>
      </c>
      <c r="B10" s="16">
        <v>1.4914999999999987E-3</v>
      </c>
      <c r="C10" s="17">
        <v>0.99850850000000002</v>
      </c>
    </row>
    <row r="11" spans="1:3" x14ac:dyDescent="0.3">
      <c r="A11">
        <v>29</v>
      </c>
      <c r="B11" s="16">
        <v>1.4915000000000013E-3</v>
      </c>
      <c r="C11" s="17">
        <v>0.99850850000000002</v>
      </c>
    </row>
    <row r="12" spans="1:3" x14ac:dyDescent="0.3">
      <c r="A12">
        <v>30</v>
      </c>
      <c r="B12" s="16">
        <v>1.4915000000000009E-3</v>
      </c>
      <c r="C12" s="17">
        <v>0.99850850000000002</v>
      </c>
    </row>
    <row r="13" spans="1:3" x14ac:dyDescent="0.3">
      <c r="A13">
        <v>31</v>
      </c>
      <c r="B13" s="16">
        <v>1.4915000000000004E-3</v>
      </c>
      <c r="C13" s="17">
        <v>0.99850850000000002</v>
      </c>
    </row>
    <row r="14" spans="1:3" x14ac:dyDescent="0.3">
      <c r="A14">
        <v>32</v>
      </c>
      <c r="B14" s="16">
        <v>1.4914999999999983E-3</v>
      </c>
      <c r="C14" s="17">
        <v>0.99850850000000002</v>
      </c>
    </row>
    <row r="15" spans="1:3" x14ac:dyDescent="0.3">
      <c r="A15">
        <v>33</v>
      </c>
      <c r="B15" s="16">
        <v>1.4915000000000026E-3</v>
      </c>
      <c r="C15" s="17">
        <v>0.99850850000000002</v>
      </c>
    </row>
    <row r="16" spans="1:3" x14ac:dyDescent="0.3">
      <c r="A16">
        <v>34</v>
      </c>
      <c r="B16" s="16">
        <v>1.4915000000000004E-3</v>
      </c>
      <c r="C16" s="17">
        <v>0.99850850000000002</v>
      </c>
    </row>
    <row r="17" spans="1:3" x14ac:dyDescent="0.3">
      <c r="A17">
        <v>35</v>
      </c>
      <c r="B17" s="16">
        <v>2.2895000000000003E-3</v>
      </c>
      <c r="C17" s="17">
        <v>0.99771049999999994</v>
      </c>
    </row>
    <row r="18" spans="1:3" x14ac:dyDescent="0.3">
      <c r="A18">
        <v>36</v>
      </c>
      <c r="B18" s="16">
        <v>2.2895000000000033E-3</v>
      </c>
      <c r="C18" s="17">
        <v>0.99771049999999994</v>
      </c>
    </row>
    <row r="19" spans="1:3" x14ac:dyDescent="0.3">
      <c r="A19">
        <v>37</v>
      </c>
      <c r="B19" s="16">
        <v>2.289500000000002E-3</v>
      </c>
      <c r="C19" s="17">
        <v>0.99771049999999994</v>
      </c>
    </row>
    <row r="20" spans="1:3" x14ac:dyDescent="0.3">
      <c r="A20">
        <v>38</v>
      </c>
      <c r="B20" s="16">
        <v>2.2895000000000003E-3</v>
      </c>
      <c r="C20" s="17">
        <v>0.99771049999999994</v>
      </c>
    </row>
    <row r="21" spans="1:3" x14ac:dyDescent="0.3">
      <c r="A21">
        <v>39</v>
      </c>
      <c r="B21" s="16">
        <v>2.2895000000000068E-3</v>
      </c>
      <c r="C21" s="17">
        <v>0.99771049999999994</v>
      </c>
    </row>
    <row r="22" spans="1:3" x14ac:dyDescent="0.3">
      <c r="A22">
        <v>40</v>
      </c>
      <c r="B22" s="16">
        <v>3.2109999999999973E-3</v>
      </c>
      <c r="C22" s="17">
        <v>0.99678900000000004</v>
      </c>
    </row>
    <row r="23" spans="1:3" x14ac:dyDescent="0.3">
      <c r="A23">
        <v>41</v>
      </c>
      <c r="B23" s="16">
        <v>3.2110000000000029E-3</v>
      </c>
      <c r="C23" s="17">
        <v>0.99678900000000004</v>
      </c>
    </row>
    <row r="24" spans="1:3" x14ac:dyDescent="0.3">
      <c r="A24">
        <v>42</v>
      </c>
      <c r="B24" s="16">
        <v>3.2110000000000003E-3</v>
      </c>
      <c r="C24" s="17">
        <v>0.99678900000000004</v>
      </c>
    </row>
    <row r="25" spans="1:3" x14ac:dyDescent="0.3">
      <c r="A25">
        <v>43</v>
      </c>
      <c r="B25" s="16">
        <v>3.2109999999999895E-3</v>
      </c>
      <c r="C25" s="17">
        <v>0.99678900000000004</v>
      </c>
    </row>
    <row r="26" spans="1:3" x14ac:dyDescent="0.3">
      <c r="A26">
        <v>44</v>
      </c>
      <c r="B26" s="16">
        <v>3.2110000000000003E-3</v>
      </c>
      <c r="C26" s="17">
        <v>0.99678900000000004</v>
      </c>
    </row>
    <row r="27" spans="1:3" x14ac:dyDescent="0.3">
      <c r="A27">
        <v>45</v>
      </c>
      <c r="B27" s="16">
        <v>4.6265000000000073E-3</v>
      </c>
      <c r="C27" s="17">
        <v>0.99537350000000002</v>
      </c>
    </row>
    <row r="28" spans="1:3" x14ac:dyDescent="0.3">
      <c r="A28">
        <v>46</v>
      </c>
      <c r="B28" s="16">
        <v>4.7482499999999903E-3</v>
      </c>
      <c r="C28" s="17">
        <v>0.99525174999999999</v>
      </c>
    </row>
    <row r="29" spans="1:3" x14ac:dyDescent="0.3">
      <c r="A29">
        <v>47</v>
      </c>
      <c r="B29" s="16">
        <v>4.7482500000000163E-3</v>
      </c>
      <c r="C29" s="17">
        <v>0.99525174999999999</v>
      </c>
    </row>
    <row r="30" spans="1:3" x14ac:dyDescent="0.3">
      <c r="A30">
        <v>48</v>
      </c>
      <c r="B30" s="16">
        <v>4.7482500000000077E-3</v>
      </c>
      <c r="C30" s="17">
        <v>0.99525174999999999</v>
      </c>
    </row>
    <row r="31" spans="1:3" x14ac:dyDescent="0.3">
      <c r="A31">
        <v>49</v>
      </c>
      <c r="B31" s="16">
        <v>4.7482499999999964E-3</v>
      </c>
      <c r="C31" s="17">
        <v>0.99525174999999999</v>
      </c>
    </row>
    <row r="32" spans="1:3" x14ac:dyDescent="0.3">
      <c r="A32">
        <v>50</v>
      </c>
      <c r="B32" s="16">
        <v>7.0590000000000132E-3</v>
      </c>
      <c r="C32" s="17">
        <v>0.99294099999999996</v>
      </c>
    </row>
    <row r="33" spans="1:3" x14ac:dyDescent="0.3">
      <c r="A33">
        <v>51</v>
      </c>
      <c r="B33" s="16">
        <v>7.0589999999999889E-3</v>
      </c>
      <c r="C33" s="17">
        <v>0.99294099999999996</v>
      </c>
    </row>
    <row r="34" spans="1:3" x14ac:dyDescent="0.3">
      <c r="A34">
        <v>52</v>
      </c>
      <c r="B34" s="16">
        <v>7.0589999999999984E-3</v>
      </c>
      <c r="C34" s="17">
        <v>0.99294099999999996</v>
      </c>
    </row>
    <row r="35" spans="1:3" x14ac:dyDescent="0.3">
      <c r="A35">
        <v>53</v>
      </c>
      <c r="B35" s="16">
        <v>7.0589999999999837E-3</v>
      </c>
      <c r="C35" s="17">
        <v>0.99294099999999996</v>
      </c>
    </row>
    <row r="36" spans="1:3" x14ac:dyDescent="0.3">
      <c r="A36">
        <v>54</v>
      </c>
      <c r="B36" s="16">
        <v>7.058999999999988E-3</v>
      </c>
      <c r="C36" s="17">
        <v>0.99294099999999996</v>
      </c>
    </row>
    <row r="37" spans="1:3" x14ac:dyDescent="0.3">
      <c r="A37">
        <v>55</v>
      </c>
      <c r="B37" s="16">
        <v>1.0286249999999985E-2</v>
      </c>
      <c r="C37" s="17">
        <v>0.98971375000000006</v>
      </c>
    </row>
    <row r="38" spans="1:3" x14ac:dyDescent="0.3">
      <c r="A38">
        <v>56</v>
      </c>
      <c r="B38" s="16">
        <v>1.0286250000000004E-2</v>
      </c>
      <c r="C38" s="17">
        <v>0.98971374999999995</v>
      </c>
    </row>
    <row r="39" spans="1:3" x14ac:dyDescent="0.3">
      <c r="A39">
        <v>57</v>
      </c>
      <c r="B39" s="16">
        <v>1.0286249999999988E-2</v>
      </c>
      <c r="C39" s="17">
        <v>0.98971375000000006</v>
      </c>
    </row>
    <row r="40" spans="1:3" x14ac:dyDescent="0.3">
      <c r="A40">
        <v>58</v>
      </c>
      <c r="B40" s="16">
        <v>1.028625000000003E-2</v>
      </c>
      <c r="C40" s="17">
        <v>0.98971374999999995</v>
      </c>
    </row>
    <row r="41" spans="1:3" x14ac:dyDescent="0.3">
      <c r="A41">
        <v>59</v>
      </c>
      <c r="B41" s="16">
        <v>1.0286250000000026E-2</v>
      </c>
      <c r="C41" s="17">
        <v>0.98971374999999995</v>
      </c>
    </row>
    <row r="42" spans="1:3" x14ac:dyDescent="0.3">
      <c r="A42">
        <v>60</v>
      </c>
      <c r="B42" s="16">
        <v>0</v>
      </c>
      <c r="C42" s="17">
        <v>1</v>
      </c>
    </row>
    <row r="43" spans="1:3" x14ac:dyDescent="0.3">
      <c r="A43">
        <v>61</v>
      </c>
      <c r="B43" s="16">
        <v>0</v>
      </c>
      <c r="C43" s="17">
        <v>1</v>
      </c>
    </row>
    <row r="44" spans="1:3" x14ac:dyDescent="0.3">
      <c r="A44">
        <v>62</v>
      </c>
      <c r="B44" s="16">
        <v>0</v>
      </c>
      <c r="C44" s="17">
        <v>1</v>
      </c>
    </row>
    <row r="45" spans="1:3" x14ac:dyDescent="0.3">
      <c r="A45">
        <v>63</v>
      </c>
      <c r="B45" s="16">
        <v>0</v>
      </c>
      <c r="C45" s="17">
        <v>1</v>
      </c>
    </row>
    <row r="46" spans="1:3" x14ac:dyDescent="0.3">
      <c r="A46">
        <v>64</v>
      </c>
      <c r="B46" s="16">
        <v>0</v>
      </c>
      <c r="C46" s="17">
        <v>1</v>
      </c>
    </row>
    <row r="47" spans="1:3" x14ac:dyDescent="0.3">
      <c r="A47">
        <v>65</v>
      </c>
      <c r="B47" s="16">
        <v>0</v>
      </c>
      <c r="C47" s="17">
        <v>1</v>
      </c>
    </row>
    <row r="48" spans="1:3" x14ac:dyDescent="0.3">
      <c r="A48">
        <v>66</v>
      </c>
      <c r="B48" s="16">
        <v>0</v>
      </c>
      <c r="C48" s="17">
        <v>1</v>
      </c>
    </row>
    <row r="49" spans="1:3" x14ac:dyDescent="0.3">
      <c r="A49">
        <v>67</v>
      </c>
      <c r="B49" s="16">
        <v>0</v>
      </c>
      <c r="C49" s="17">
        <v>1</v>
      </c>
    </row>
    <row r="50" spans="1:3" x14ac:dyDescent="0.3">
      <c r="A50">
        <v>68</v>
      </c>
      <c r="B50" s="16">
        <v>0</v>
      </c>
      <c r="C50" s="17">
        <v>1</v>
      </c>
    </row>
    <row r="51" spans="1:3" x14ac:dyDescent="0.3">
      <c r="A51">
        <v>69</v>
      </c>
      <c r="B51" s="16">
        <v>0</v>
      </c>
      <c r="C51" s="17">
        <v>1</v>
      </c>
    </row>
    <row r="52" spans="1:3" x14ac:dyDescent="0.3">
      <c r="A52">
        <v>70</v>
      </c>
      <c r="B52" s="16">
        <v>0</v>
      </c>
      <c r="C52" s="17">
        <v>1</v>
      </c>
    </row>
    <row r="53" spans="1:3" x14ac:dyDescent="0.3">
      <c r="A53">
        <v>71</v>
      </c>
      <c r="B53" s="16">
        <v>0</v>
      </c>
      <c r="C53" s="17">
        <v>1</v>
      </c>
    </row>
    <row r="54" spans="1:3" x14ac:dyDescent="0.3">
      <c r="A54">
        <v>72</v>
      </c>
      <c r="B54" s="16">
        <v>0</v>
      </c>
      <c r="C54" s="17">
        <v>1</v>
      </c>
    </row>
    <row r="55" spans="1:3" x14ac:dyDescent="0.3">
      <c r="A55">
        <v>73</v>
      </c>
      <c r="B55" s="16">
        <v>0</v>
      </c>
      <c r="C55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input_assumptions</vt:lpstr>
      <vt:lpstr>input_data</vt:lpstr>
      <vt:lpstr>calculation</vt:lpstr>
      <vt:lpstr>lookup_probability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Sumair Sayani</dc:creator>
  <cp:keywords/>
  <dc:description/>
  <cp:lastModifiedBy>Fayyaz Hussain Shah</cp:lastModifiedBy>
  <cp:revision/>
  <dcterms:created xsi:type="dcterms:W3CDTF">2026-01-02T08:39:17Z</dcterms:created>
  <dcterms:modified xsi:type="dcterms:W3CDTF">2026-01-31T12:30:30Z</dcterms:modified>
  <cp:category/>
  <cp:contentStatus/>
</cp:coreProperties>
</file>